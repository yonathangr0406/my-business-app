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nathangonzalez/Documents/Sistema_Reportes_Inmobiliarios/"/>
    </mc:Choice>
  </mc:AlternateContent>
  <xr:revisionPtr revIDLastSave="0" documentId="8_{5FA18CE2-E083-4347-A5B8-021EC9B2109A}" xr6:coauthVersionLast="47" xr6:coauthVersionMax="47" xr10:uidLastSave="{00000000-0000-0000-0000-000000000000}"/>
  <bookViews>
    <workbookView xWindow="1180" yWindow="1500" windowWidth="27240" windowHeight="14800" activeTab="1" xr2:uid="{D89C506C-1D26-BB4F-BA8C-B6E833F139A1}"/>
  </bookViews>
  <sheets>
    <sheet name="Sales" sheetId="1" r:id="rId1"/>
    <sheet name="Goa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C22" i="2"/>
  <c r="B16" i="2"/>
  <c r="B17" i="2" s="1"/>
  <c r="B14" i="2"/>
  <c r="B8" i="2"/>
  <c r="B6" i="2"/>
  <c r="B4" i="2"/>
  <c r="E22" i="1"/>
  <c r="Q21" i="1"/>
  <c r="G21" i="1"/>
  <c r="I21" i="1" s="1"/>
  <c r="Q20" i="1"/>
  <c r="G20" i="1"/>
  <c r="I20" i="1" s="1"/>
  <c r="F20" i="1"/>
  <c r="Q19" i="1"/>
  <c r="G19" i="1"/>
  <c r="I19" i="1" s="1"/>
  <c r="Q18" i="1"/>
  <c r="I18" i="1"/>
  <c r="G18" i="1"/>
  <c r="Q17" i="1"/>
  <c r="I17" i="1"/>
  <c r="F17" i="1"/>
  <c r="R16" i="1"/>
  <c r="Q16" i="1"/>
  <c r="G16" i="1"/>
  <c r="I16" i="1" s="1"/>
  <c r="R15" i="1"/>
  <c r="Q15" i="1"/>
  <c r="G15" i="1"/>
  <c r="I15" i="1" s="1"/>
  <c r="R14" i="1"/>
  <c r="Q14" i="1"/>
  <c r="G14" i="1"/>
  <c r="I14" i="1" s="1"/>
  <c r="Q13" i="1"/>
  <c r="F13" i="1"/>
  <c r="G13" i="1" s="1"/>
  <c r="Q12" i="1"/>
  <c r="G12" i="1"/>
  <c r="I12" i="1" s="1"/>
  <c r="Q11" i="1"/>
  <c r="G11" i="1"/>
  <c r="I11" i="1" s="1"/>
  <c r="Q10" i="1"/>
  <c r="G10" i="1"/>
  <c r="Q9" i="1"/>
  <c r="I9" i="1"/>
  <c r="I8" i="1"/>
  <c r="Q7" i="1"/>
  <c r="G7" i="1"/>
  <c r="I7" i="1" s="1"/>
  <c r="G6" i="1"/>
  <c r="I6" i="1" s="1"/>
  <c r="Q5" i="1"/>
  <c r="I5" i="1"/>
  <c r="F5" i="1"/>
  <c r="Q4" i="1"/>
  <c r="G4" i="1"/>
  <c r="I4" i="1" s="1"/>
  <c r="Q3" i="1"/>
  <c r="G3" i="1"/>
  <c r="Q2" i="1"/>
  <c r="Q22" i="1" s="1"/>
  <c r="G2" i="1"/>
  <c r="I2" i="1" s="1"/>
  <c r="B27" i="2" l="1"/>
  <c r="B18" i="2"/>
  <c r="B19" i="2" s="1"/>
  <c r="B20" i="2" s="1"/>
  <c r="I13" i="1"/>
  <c r="I22" i="1" s="1"/>
  <c r="G22" i="1"/>
</calcChain>
</file>

<file path=xl/sharedStrings.xml><?xml version="1.0" encoding="utf-8"?>
<sst xmlns="http://schemas.openxmlformats.org/spreadsheetml/2006/main" count="163" uniqueCount="94">
  <si>
    <t>Fecha</t>
  </si>
  <si>
    <t>Client</t>
  </si>
  <si>
    <t>Property</t>
  </si>
  <si>
    <t>Type</t>
  </si>
  <si>
    <t>Volume</t>
  </si>
  <si>
    <t>% De Comision</t>
  </si>
  <si>
    <t>Comision antes Split</t>
  </si>
  <si>
    <t>Split</t>
  </si>
  <si>
    <t>Comision Neta</t>
  </si>
  <si>
    <t>Status</t>
  </si>
  <si>
    <t xml:space="preserve">Fecha de Pago </t>
  </si>
  <si>
    <t>Comentarios</t>
  </si>
  <si>
    <t>Campana</t>
  </si>
  <si>
    <t>Inversion de campana</t>
  </si>
  <si>
    <t>Primer Contacto</t>
  </si>
  <si>
    <t>Cierre</t>
  </si>
  <si>
    <t>Ciclo de Cierre</t>
  </si>
  <si>
    <t>Dias Pasados</t>
  </si>
  <si>
    <t>Milagros Ledesma</t>
  </si>
  <si>
    <t>Apartamento en el Millon</t>
  </si>
  <si>
    <t>Reventa</t>
  </si>
  <si>
    <t>50-50</t>
  </si>
  <si>
    <t>Pagado</t>
  </si>
  <si>
    <t>Gazcue Reventa</t>
  </si>
  <si>
    <t>Jonathan Claudio</t>
  </si>
  <si>
    <t>Uptown 2Bed</t>
  </si>
  <si>
    <t>Proyecto</t>
  </si>
  <si>
    <t>Comision retrasada. 20% Pagado desde el 23 de Julio</t>
  </si>
  <si>
    <t>Referido</t>
  </si>
  <si>
    <t>Manuel Lopez</t>
  </si>
  <si>
    <t>Estudio Torre Mikna</t>
  </si>
  <si>
    <t>Oficina</t>
  </si>
  <si>
    <t>a</t>
  </si>
  <si>
    <t>Apartamento en Naco</t>
  </si>
  <si>
    <t xml:space="preserve">A espera de deposito del prestamo del banco. </t>
  </si>
  <si>
    <t>Yazmin Hayde Romero</t>
  </si>
  <si>
    <t>Terrazas del Oriente Apartamento</t>
  </si>
  <si>
    <t>Otro Agente</t>
  </si>
  <si>
    <t>-</t>
  </si>
  <si>
    <t>Gabriel Pantoja</t>
  </si>
  <si>
    <t>Apartamento Allegro 3</t>
  </si>
  <si>
    <t>Reserva completada el 25 de septiembre.</t>
  </si>
  <si>
    <t>Embajada Espanola</t>
  </si>
  <si>
    <t>Alquiler Altamar</t>
  </si>
  <si>
    <t>Alquiler</t>
  </si>
  <si>
    <t>Gissell Ortiz</t>
  </si>
  <si>
    <t>Opus 4to con Terraza</t>
  </si>
  <si>
    <t>Terrazas del Oriente</t>
  </si>
  <si>
    <t>Juan Antonio</t>
  </si>
  <si>
    <t>Avia 3  -  2 Habitaciones</t>
  </si>
  <si>
    <t>Jose A Than</t>
  </si>
  <si>
    <t xml:space="preserve">Avia 3  -  1 Habitacion </t>
  </si>
  <si>
    <t>60-40</t>
  </si>
  <si>
    <t>Isaac Vargas</t>
  </si>
  <si>
    <t>Solar Samana</t>
  </si>
  <si>
    <t>Wendy Mota / Henry Urbaez</t>
  </si>
  <si>
    <t>Villa Marina  / 304-D</t>
  </si>
  <si>
    <t>Yoryin Alexander</t>
  </si>
  <si>
    <t>Serena Village (Turquesa 102)</t>
  </si>
  <si>
    <t>Alta Vista</t>
  </si>
  <si>
    <t>Serna Village (Azul 302</t>
  </si>
  <si>
    <t>Anderson Fabian</t>
  </si>
  <si>
    <t>Santa Rita 402</t>
  </si>
  <si>
    <t>Contrato Firmado el dia 8/21. Espera de deposito de parte del senor Anderson.</t>
  </si>
  <si>
    <t>Villa Marina</t>
  </si>
  <si>
    <t>Carmen Diaz</t>
  </si>
  <si>
    <t>Villa Marina  / 402-A</t>
  </si>
  <si>
    <t>Serena Village Azul 102</t>
  </si>
  <si>
    <t>Serena Village Olas 102</t>
  </si>
  <si>
    <t>Robert Valdez</t>
  </si>
  <si>
    <t>PH Piantini</t>
  </si>
  <si>
    <t>70-30</t>
  </si>
  <si>
    <t>Pendiente</t>
  </si>
  <si>
    <t>Ariel Carvajal</t>
  </si>
  <si>
    <t>Arroyo Hondo Gardens</t>
  </si>
  <si>
    <t>Pagina</t>
  </si>
  <si>
    <t>Total</t>
  </si>
  <si>
    <t>Meta Comision Bruta Anual</t>
  </si>
  <si>
    <t>Meta Comision Neta Anual</t>
  </si>
  <si>
    <t>Meta Comision Mensual</t>
  </si>
  <si>
    <t>Meta Comision Bruta Mensual</t>
  </si>
  <si>
    <t>Precio Promedio</t>
  </si>
  <si>
    <t>Comision Promedio %</t>
  </si>
  <si>
    <t>Comision Promedio $</t>
  </si>
  <si>
    <t>Ingreso Neto</t>
  </si>
  <si>
    <t>Ventas Necesarias al año</t>
  </si>
  <si>
    <t>Ventas Necesarias al mes</t>
  </si>
  <si>
    <t>Ingreso Promedio al mes</t>
  </si>
  <si>
    <t>Ingreso Promedio al año</t>
  </si>
  <si>
    <t>Leads to Close</t>
  </si>
  <si>
    <t>Leds Mensuales</t>
  </si>
  <si>
    <t>Costo por Lead</t>
  </si>
  <si>
    <t>Inversion Mensual</t>
  </si>
  <si>
    <t>Volumen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</si>
</sst>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0.0%"/>
    <numFmt numFmtId="166" formatCode="&quot;$&quot;#,##0.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b/>
      <sz val="20"/>
      <color theme="0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164" fontId="0" fillId="0" borderId="0" xfId="1" applyNumberFormat="1" applyFont="1" applyAlignment="1">
      <alignment horizontal="center" wrapText="1"/>
    </xf>
    <xf numFmtId="165" fontId="0" fillId="0" borderId="0" xfId="1" applyNumberFormat="1" applyFont="1" applyAlignment="1">
      <alignment horizontal="center" wrapText="1"/>
    </xf>
    <xf numFmtId="44" fontId="0" fillId="0" borderId="0" xfId="1" applyFont="1" applyAlignment="1">
      <alignment horizontal="center" wrapText="1"/>
    </xf>
    <xf numFmtId="166" fontId="0" fillId="0" borderId="0" xfId="1" applyNumberFormat="1" applyFon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 wrapText="1"/>
    </xf>
    <xf numFmtId="165" fontId="0" fillId="0" borderId="0" xfId="2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44" fontId="0" fillId="0" borderId="0" xfId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10" fontId="0" fillId="2" borderId="0" xfId="2" applyNumberFormat="1" applyFont="1" applyFill="1" applyAlignment="1">
      <alignment horizontal="center"/>
    </xf>
    <xf numFmtId="44" fontId="0" fillId="2" borderId="0" xfId="1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166" fontId="0" fillId="0" borderId="0" xfId="0" applyNumberFormat="1" applyAlignment="1">
      <alignment horizontal="center" wrapText="1"/>
    </xf>
    <xf numFmtId="44" fontId="0" fillId="0" borderId="0" xfId="0" applyNumberFormat="1" applyAlignment="1">
      <alignment horizontal="center"/>
    </xf>
    <xf numFmtId="44" fontId="0" fillId="3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166" fontId="4" fillId="2" borderId="2" xfId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66" fontId="4" fillId="2" borderId="4" xfId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66" fontId="3" fillId="0" borderId="5" xfId="1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166" fontId="3" fillId="5" borderId="7" xfId="1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166" fontId="4" fillId="2" borderId="9" xfId="1" applyNumberFormat="1" applyFont="1" applyFill="1" applyBorder="1" applyAlignment="1">
      <alignment horizontal="center" vertical="center"/>
    </xf>
    <xf numFmtId="0" fontId="5" fillId="0" borderId="0" xfId="0" applyFont="1"/>
    <xf numFmtId="0" fontId="3" fillId="0" borderId="1" xfId="0" applyFont="1" applyBorder="1" applyAlignment="1">
      <alignment horizontal="center" wrapText="1"/>
    </xf>
    <xf numFmtId="166" fontId="3" fillId="5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wrapText="1"/>
    </xf>
    <xf numFmtId="165" fontId="3" fillId="5" borderId="4" xfId="2" applyNumberFormat="1" applyFont="1" applyFill="1" applyBorder="1" applyAlignment="1">
      <alignment horizontal="center" vertical="center" wrapText="1"/>
    </xf>
    <xf numFmtId="166" fontId="3" fillId="0" borderId="4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4" fontId="0" fillId="0" borderId="0" xfId="0" applyNumberFormat="1" applyAlignment="1">
      <alignment wrapText="1"/>
    </xf>
    <xf numFmtId="166" fontId="4" fillId="6" borderId="4" xfId="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166" fontId="3" fillId="0" borderId="5" xfId="0" applyNumberFormat="1" applyFont="1" applyBorder="1" applyAlignment="1">
      <alignment horizontal="center" wrapText="1"/>
    </xf>
    <xf numFmtId="0" fontId="4" fillId="7" borderId="8" xfId="0" applyFont="1" applyFill="1" applyBorder="1" applyAlignment="1">
      <alignment horizontal="center"/>
    </xf>
    <xf numFmtId="166" fontId="4" fillId="7" borderId="11" xfId="0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4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</dxf>
    <dxf>
      <numFmt numFmtId="166" formatCode="&quot;$&quot;#,##0.00"/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9</xdr:row>
      <xdr:rowOff>76200</xdr:rowOff>
    </xdr:from>
    <xdr:to>
      <xdr:col>2</xdr:col>
      <xdr:colOff>0</xdr:colOff>
      <xdr:row>10</xdr:row>
      <xdr:rowOff>101600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C905E0F-C9F1-A741-9A89-5C17957418FF}"/>
            </a:ext>
          </a:extLst>
        </xdr:cNvPr>
        <xdr:cNvSpPr/>
      </xdr:nvSpPr>
      <xdr:spPr>
        <a:xfrm>
          <a:off x="127000" y="2870200"/>
          <a:ext cx="5486400" cy="584200"/>
        </a:xfrm>
        <a:prstGeom prst="round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CALCULATOR</a:t>
          </a:r>
        </a:p>
        <a:p>
          <a:pPr algn="ctr"/>
          <a:endParaRPr lang="en-US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127000</xdr:colOff>
      <xdr:row>0</xdr:row>
      <xdr:rowOff>12700</xdr:rowOff>
    </xdr:from>
    <xdr:to>
      <xdr:col>2</xdr:col>
      <xdr:colOff>0</xdr:colOff>
      <xdr:row>2</xdr:row>
      <xdr:rowOff>190500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EB729C1C-0D5C-9840-8C0C-FB6212D6B2DC}"/>
            </a:ext>
          </a:extLst>
        </xdr:cNvPr>
        <xdr:cNvSpPr/>
      </xdr:nvSpPr>
      <xdr:spPr>
        <a:xfrm>
          <a:off x="127000" y="12700"/>
          <a:ext cx="5486400" cy="558800"/>
        </a:xfrm>
        <a:prstGeom prst="round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METAS 2026</a:t>
          </a:r>
        </a:p>
        <a:p>
          <a:pPr algn="ctr"/>
          <a:endParaRPr lang="en-US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96B14-5C6E-7E47-955A-4AC14D1DB3DB}" name="Table3" displayName="Table3" ref="A1:R22" totalsRowCount="1" headerRowDxfId="37" dataDxfId="36" totalsRowDxfId="35">
  <autoFilter ref="A1:R21" xr:uid="{D9B96B14-5C6E-7E47-955A-4AC14D1DB3DB}"/>
  <sortState xmlns:xlrd2="http://schemas.microsoft.com/office/spreadsheetml/2017/richdata2" ref="A2:R21">
    <sortCondition ref="K1:K21"/>
  </sortState>
  <tableColumns count="18">
    <tableColumn id="1" xr3:uid="{18C4694F-3714-D948-A7BD-FF00DA4FD156}" name="Fecha" totalsRowLabel="Total" dataDxfId="33" totalsRowDxfId="34"/>
    <tableColumn id="2" xr3:uid="{A6770FBE-3F75-CF4E-8E4D-2DE3E96C7134}" name="Client" dataDxfId="31" totalsRowDxfId="32"/>
    <tableColumn id="3" xr3:uid="{390A93D4-B1FC-9E47-B576-878E3788E4E0}" name="Property" dataDxfId="29" totalsRowDxfId="30"/>
    <tableColumn id="4" xr3:uid="{CF84A832-F8E5-CA4A-93F1-E26C0015735A}" name="Type" dataDxfId="27" totalsRowDxfId="28"/>
    <tableColumn id="5" xr3:uid="{AF00BCAA-CCE9-8440-BD84-89B4595C0755}" name="Volume" totalsRowFunction="sum" dataDxfId="25" totalsRowDxfId="26" dataCellStyle="Currency"/>
    <tableColumn id="10" xr3:uid="{D5423697-8B86-BB4D-BC57-626C2A35D3C1}" name="% De Comision" dataDxfId="24" dataCellStyle="Currency"/>
    <tableColumn id="6" xr3:uid="{68BA33B4-91C6-5047-AB5B-FCFEC86650BA}" name="Comision antes Split" totalsRowFunction="sum" dataDxfId="22" totalsRowDxfId="23" dataCellStyle="Currency">
      <calculatedColumnFormula>Table3[[#This Row],[Volume]]*Table3[[#This Row],[% De Comision]]</calculatedColumnFormula>
    </tableColumn>
    <tableColumn id="7" xr3:uid="{F62AD412-DAAC-F446-94F6-815AF10C51CC}" name="Split" dataDxfId="20" totalsRowDxfId="21" dataCellStyle="Currency"/>
    <tableColumn id="8" xr3:uid="{A9EDE2E6-9484-5D4F-9FF8-DE88A83D25FF}" name="Comision Neta" totalsRowFunction="sum" dataDxfId="18" totalsRowDxfId="19" dataCellStyle="Currency">
      <calculatedColumnFormula>G2/2</calculatedColumnFormula>
    </tableColumn>
    <tableColumn id="9" xr3:uid="{7CE4CA4A-4BED-6B40-A91D-30E11183AEE5}" name="Status" dataDxfId="16" totalsRowDxfId="17"/>
    <tableColumn id="12" xr3:uid="{BFA22C28-00BF-A34B-A240-503236D8F60E}" name="Fecha de Pago " dataDxfId="14" totalsRowDxfId="15"/>
    <tableColumn id="11" xr3:uid="{8918EFD0-6506-2F4D-912F-F75D3DF7FDEE}" name="Comentarios" dataDxfId="12" totalsRowDxfId="13"/>
    <tableColumn id="18" xr3:uid="{D1FCE982-3B10-CC4B-AD15-33EF0A4DAF4A}" name="Campana" dataDxfId="10" totalsRowDxfId="11"/>
    <tableColumn id="19" xr3:uid="{91DF500D-5156-C040-8BF9-098CEC6422F6}" name="Inversion de campana" dataDxfId="8" totalsRowDxfId="9"/>
    <tableColumn id="13" xr3:uid="{0EFBEC9F-50DA-D74B-9D45-EC6663499579}" name="Primer Contacto" dataDxfId="6" totalsRowDxfId="7"/>
    <tableColumn id="14" xr3:uid="{987C6B23-7972-204E-9405-ED85E04090F8}" name="Cierre" dataDxfId="4" totalsRowDxfId="5"/>
    <tableColumn id="15" xr3:uid="{58F973FF-ADC1-3C4B-B31F-0D556C46571F}" name="Ciclo de Cierre" totalsRowFunction="average" dataDxfId="2" totalsRowDxfId="3">
      <calculatedColumnFormula>Table3[[#This Row],[Cierre]]-Table3[[#This Row],[Primer Contacto]]</calculatedColumnFormula>
    </tableColumn>
    <tableColumn id="17" xr3:uid="{5FACBCAE-9349-A145-85FC-4FE966C23F3B}" name="Dias Pasados" dataDxfId="0" totalsRow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6526-A5FD-CE4E-9521-C7442DB637C2}">
  <dimension ref="A1:R22"/>
  <sheetViews>
    <sheetView workbookViewId="0">
      <selection sqref="A1:R22"/>
    </sheetView>
  </sheetViews>
  <sheetFormatPr baseColWidth="10" defaultRowHeight="16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1" x14ac:dyDescent="0.2">
      <c r="A2" s="2">
        <v>45518</v>
      </c>
      <c r="B2" s="3" t="s">
        <v>18</v>
      </c>
      <c r="C2" s="3" t="s">
        <v>19</v>
      </c>
      <c r="D2" s="4" t="s">
        <v>20</v>
      </c>
      <c r="E2" s="5">
        <v>115869</v>
      </c>
      <c r="F2" s="6">
        <v>0.02</v>
      </c>
      <c r="G2" s="5">
        <f>Table3[[#This Row],[Volume]]*Table3[[#This Row],[% De Comision]]</f>
        <v>2317.38</v>
      </c>
      <c r="H2" s="7" t="s">
        <v>21</v>
      </c>
      <c r="I2" s="8">
        <f>G2/2</f>
        <v>1158.69</v>
      </c>
      <c r="J2" s="3" t="s">
        <v>22</v>
      </c>
      <c r="K2" s="9">
        <v>45532</v>
      </c>
      <c r="L2" s="3"/>
      <c r="M2" s="3" t="s">
        <v>23</v>
      </c>
      <c r="N2" s="3"/>
      <c r="O2" s="10">
        <v>45512</v>
      </c>
      <c r="P2" s="10">
        <v>45517</v>
      </c>
      <c r="Q2" s="1">
        <f>Table3[[#This Row],[Cierre]]-Table3[[#This Row],[Primer Contacto]]</f>
        <v>5</v>
      </c>
      <c r="R2" s="1"/>
    </row>
    <row r="3" spans="1:18" ht="85" x14ac:dyDescent="0.2">
      <c r="A3" s="2">
        <v>45496</v>
      </c>
      <c r="B3" s="3" t="s">
        <v>24</v>
      </c>
      <c r="C3" s="3" t="s">
        <v>25</v>
      </c>
      <c r="D3" s="4" t="s">
        <v>26</v>
      </c>
      <c r="E3" s="5">
        <v>219999</v>
      </c>
      <c r="F3" s="11">
        <v>3.5000000000000003E-2</v>
      </c>
      <c r="G3" s="5">
        <f>Table3[[#This Row],[Volume]]*Table3[[#This Row],[% De Comision]]</f>
        <v>7699.9650000000011</v>
      </c>
      <c r="H3" s="7" t="s">
        <v>21</v>
      </c>
      <c r="I3" s="8">
        <v>1924</v>
      </c>
      <c r="J3" s="3" t="s">
        <v>22</v>
      </c>
      <c r="K3" s="9">
        <v>45576</v>
      </c>
      <c r="L3" s="3" t="s">
        <v>27</v>
      </c>
      <c r="M3" s="3" t="s">
        <v>28</v>
      </c>
      <c r="N3" s="3"/>
      <c r="O3" s="10">
        <v>45458</v>
      </c>
      <c r="P3" s="10">
        <v>45461</v>
      </c>
      <c r="Q3" s="1">
        <f>Table3[[#This Row],[Cierre]]-Table3[[#This Row],[Primer Contacto]]</f>
        <v>3</v>
      </c>
      <c r="R3" s="1"/>
    </row>
    <row r="4" spans="1:18" ht="34" x14ac:dyDescent="0.2">
      <c r="A4" s="2">
        <v>45577</v>
      </c>
      <c r="B4" s="3" t="s">
        <v>29</v>
      </c>
      <c r="C4" s="3" t="s">
        <v>30</v>
      </c>
      <c r="D4" s="4" t="s">
        <v>26</v>
      </c>
      <c r="E4" s="5">
        <v>113000</v>
      </c>
      <c r="F4" s="12">
        <v>2.5000000000000001E-2</v>
      </c>
      <c r="G4" s="5">
        <f>Table3[[#This Row],[Volume]]*Table3[[#This Row],[% De Comision]]</f>
        <v>2825</v>
      </c>
      <c r="H4" s="7" t="s">
        <v>21</v>
      </c>
      <c r="I4" s="8">
        <f t="shared" ref="I4:I9" si="0">G4/2</f>
        <v>1412.5</v>
      </c>
      <c r="J4" s="3" t="s">
        <v>22</v>
      </c>
      <c r="K4" s="9">
        <v>45621</v>
      </c>
      <c r="L4" s="3"/>
      <c r="M4" s="3" t="s">
        <v>31</v>
      </c>
      <c r="N4" s="3"/>
      <c r="O4" s="10">
        <v>45569</v>
      </c>
      <c r="P4" s="10">
        <v>45577</v>
      </c>
      <c r="Q4" s="1">
        <f>Table3[[#This Row],[Cierre]]-Table3[[#This Row],[Primer Contacto]]</f>
        <v>8</v>
      </c>
      <c r="R4" s="1"/>
    </row>
    <row r="5" spans="1:18" ht="85" x14ac:dyDescent="0.2">
      <c r="A5" s="2">
        <v>45530</v>
      </c>
      <c r="B5" s="3" t="s">
        <v>32</v>
      </c>
      <c r="C5" s="3" t="s">
        <v>33</v>
      </c>
      <c r="D5" s="4" t="s">
        <v>20</v>
      </c>
      <c r="E5" s="13">
        <v>238000</v>
      </c>
      <c r="F5" s="12">
        <f>Table3[[#This Row],[Comision antes Split]]/Table3[[#This Row],[Volume]]</f>
        <v>1.680672268907563E-2</v>
      </c>
      <c r="G5" s="13">
        <v>4000</v>
      </c>
      <c r="H5" s="7" t="s">
        <v>21</v>
      </c>
      <c r="I5" s="8">
        <f t="shared" si="0"/>
        <v>2000</v>
      </c>
      <c r="J5" s="3" t="s">
        <v>22</v>
      </c>
      <c r="K5" s="9">
        <v>45623</v>
      </c>
      <c r="L5" s="3" t="s">
        <v>34</v>
      </c>
      <c r="M5" s="3" t="s">
        <v>23</v>
      </c>
      <c r="N5" s="3"/>
      <c r="O5" s="10">
        <v>45483</v>
      </c>
      <c r="P5" s="10">
        <v>45539</v>
      </c>
      <c r="Q5" s="1">
        <f>Table3[[#This Row],[Cierre]]-Table3[[#This Row],[Primer Contacto]]</f>
        <v>56</v>
      </c>
      <c r="R5" s="1"/>
    </row>
    <row r="6" spans="1:18" ht="17" x14ac:dyDescent="0.2">
      <c r="A6" s="2">
        <v>45576</v>
      </c>
      <c r="B6" s="1" t="s">
        <v>35</v>
      </c>
      <c r="C6" s="1" t="s">
        <v>36</v>
      </c>
      <c r="D6" s="4" t="s">
        <v>26</v>
      </c>
      <c r="E6" s="13">
        <v>99000</v>
      </c>
      <c r="F6" s="14">
        <v>0.02</v>
      </c>
      <c r="G6" s="13">
        <f>Table3[[#This Row],[Volume]]*Table3[[#This Row],[% De Comision]]</f>
        <v>1980</v>
      </c>
      <c r="H6" s="15" t="s">
        <v>21</v>
      </c>
      <c r="I6" s="8">
        <f t="shared" si="0"/>
        <v>990</v>
      </c>
      <c r="J6" s="3" t="s">
        <v>22</v>
      </c>
      <c r="K6" s="9">
        <v>45665</v>
      </c>
      <c r="L6" s="1"/>
      <c r="M6" s="1" t="s">
        <v>37</v>
      </c>
      <c r="N6" s="1"/>
      <c r="O6" s="1"/>
      <c r="P6" s="1"/>
      <c r="Q6" s="1" t="s">
        <v>38</v>
      </c>
      <c r="R6" s="1"/>
    </row>
    <row r="7" spans="1:18" ht="68" x14ac:dyDescent="0.2">
      <c r="A7" s="2">
        <v>45560</v>
      </c>
      <c r="B7" s="3" t="s">
        <v>39</v>
      </c>
      <c r="C7" s="3" t="s">
        <v>40</v>
      </c>
      <c r="D7" s="4" t="s">
        <v>26</v>
      </c>
      <c r="E7" s="5">
        <v>49000</v>
      </c>
      <c r="F7" s="12">
        <v>0.03</v>
      </c>
      <c r="G7" s="13">
        <f>Table3[[#This Row],[Volume]]*Table3[[#This Row],[% De Comision]]</f>
        <v>1470</v>
      </c>
      <c r="H7" s="7" t="s">
        <v>21</v>
      </c>
      <c r="I7" s="8">
        <f t="shared" si="0"/>
        <v>735</v>
      </c>
      <c r="J7" s="3" t="s">
        <v>22</v>
      </c>
      <c r="K7" s="9">
        <v>45674</v>
      </c>
      <c r="L7" s="3" t="s">
        <v>41</v>
      </c>
      <c r="M7" s="3" t="s">
        <v>31</v>
      </c>
      <c r="N7" s="3"/>
      <c r="O7" s="10">
        <v>45547</v>
      </c>
      <c r="P7" s="10">
        <v>45560</v>
      </c>
      <c r="Q7" s="1">
        <f>Table3[[#This Row],[Cierre]]-Table3[[#This Row],[Primer Contacto]]</f>
        <v>13</v>
      </c>
      <c r="R7" s="1"/>
    </row>
    <row r="8" spans="1:18" x14ac:dyDescent="0.2">
      <c r="A8" s="2">
        <v>45840</v>
      </c>
      <c r="B8" s="1" t="s">
        <v>42</v>
      </c>
      <c r="C8" s="1" t="s">
        <v>43</v>
      </c>
      <c r="D8" s="4" t="s">
        <v>44</v>
      </c>
      <c r="E8" s="13">
        <v>1850</v>
      </c>
      <c r="F8" s="14"/>
      <c r="G8" s="13">
        <v>1850</v>
      </c>
      <c r="H8" s="15" t="s">
        <v>21</v>
      </c>
      <c r="I8" s="8">
        <f t="shared" si="0"/>
        <v>925</v>
      </c>
      <c r="J8" s="1" t="s">
        <v>22</v>
      </c>
      <c r="K8" s="10">
        <v>45705</v>
      </c>
      <c r="L8" s="1"/>
      <c r="M8" s="1" t="s">
        <v>28</v>
      </c>
      <c r="N8" s="1"/>
      <c r="O8" s="1"/>
      <c r="P8" s="1"/>
      <c r="Q8" s="1" t="s">
        <v>38</v>
      </c>
      <c r="R8" s="1"/>
    </row>
    <row r="9" spans="1:18" x14ac:dyDescent="0.2">
      <c r="A9" s="2">
        <v>45612</v>
      </c>
      <c r="B9" s="1" t="s">
        <v>45</v>
      </c>
      <c r="C9" s="1" t="s">
        <v>46</v>
      </c>
      <c r="D9" s="4" t="s">
        <v>26</v>
      </c>
      <c r="E9" s="13">
        <v>94166</v>
      </c>
      <c r="F9" s="14">
        <v>0.03</v>
      </c>
      <c r="G9" s="13">
        <v>1412</v>
      </c>
      <c r="H9" s="15" t="s">
        <v>21</v>
      </c>
      <c r="I9" s="8">
        <f t="shared" si="0"/>
        <v>706</v>
      </c>
      <c r="J9" s="1" t="s">
        <v>22</v>
      </c>
      <c r="K9" s="10">
        <v>45744</v>
      </c>
      <c r="L9" s="1"/>
      <c r="M9" s="1" t="s">
        <v>47</v>
      </c>
      <c r="N9" s="1"/>
      <c r="O9" s="10">
        <v>45579</v>
      </c>
      <c r="P9" s="10">
        <v>45613</v>
      </c>
      <c r="Q9" s="1">
        <f>Table3[[#This Row],[Cierre]]-Table3[[#This Row],[Primer Contacto]]</f>
        <v>34</v>
      </c>
      <c r="R9" s="1"/>
    </row>
    <row r="10" spans="1:18" x14ac:dyDescent="0.2">
      <c r="A10" s="2">
        <v>45672</v>
      </c>
      <c r="B10" s="1" t="s">
        <v>48</v>
      </c>
      <c r="C10" s="1" t="s">
        <v>49</v>
      </c>
      <c r="D10" s="4" t="s">
        <v>26</v>
      </c>
      <c r="E10" s="13">
        <v>177700</v>
      </c>
      <c r="F10" s="14">
        <v>0.04</v>
      </c>
      <c r="G10" s="13">
        <f>Table3[[#This Row],[Volume]]*Table3[[#This Row],[% De Comision]]</f>
        <v>7108</v>
      </c>
      <c r="H10" s="15" t="s">
        <v>21</v>
      </c>
      <c r="I10" s="8">
        <v>3198</v>
      </c>
      <c r="J10" s="1" t="s">
        <v>22</v>
      </c>
      <c r="K10" s="10">
        <v>45761</v>
      </c>
      <c r="L10" s="1"/>
      <c r="M10" s="1" t="s">
        <v>31</v>
      </c>
      <c r="N10" s="1"/>
      <c r="O10" s="10">
        <v>45665</v>
      </c>
      <c r="P10" s="10">
        <v>45684</v>
      </c>
      <c r="Q10" s="1">
        <f>Table3[[#This Row],[Cierre]]-Table3[[#This Row],[Primer Contacto]]</f>
        <v>19</v>
      </c>
      <c r="R10" s="1"/>
    </row>
    <row r="11" spans="1:18" x14ac:dyDescent="0.2">
      <c r="A11" s="2">
        <v>45638</v>
      </c>
      <c r="B11" s="1" t="s">
        <v>50</v>
      </c>
      <c r="C11" s="1" t="s">
        <v>51</v>
      </c>
      <c r="D11" s="4" t="s">
        <v>26</v>
      </c>
      <c r="E11" s="5">
        <v>146000</v>
      </c>
      <c r="F11" s="14">
        <v>0.04</v>
      </c>
      <c r="G11" s="13">
        <f>Table3[[#This Row],[Volume]]*Table3[[#This Row],[% De Comision]]</f>
        <v>5840</v>
      </c>
      <c r="H11" s="15" t="s">
        <v>52</v>
      </c>
      <c r="I11" s="8">
        <f>G11/2</f>
        <v>2920</v>
      </c>
      <c r="J11" s="1" t="s">
        <v>22</v>
      </c>
      <c r="K11" s="10">
        <v>45780</v>
      </c>
      <c r="L11" s="1"/>
      <c r="M11" s="1" t="s">
        <v>31</v>
      </c>
      <c r="N11" s="1"/>
      <c r="O11" s="10">
        <v>45509</v>
      </c>
      <c r="P11" s="10">
        <v>45638</v>
      </c>
      <c r="Q11" s="1">
        <f>Table3[[#This Row],[Cierre]]-Table3[[#This Row],[Primer Contacto]]</f>
        <v>129</v>
      </c>
      <c r="R11" s="1"/>
    </row>
    <row r="12" spans="1:18" ht="34" x14ac:dyDescent="0.2">
      <c r="A12" s="2">
        <v>45804</v>
      </c>
      <c r="B12" s="3" t="s">
        <v>53</v>
      </c>
      <c r="C12" s="3" t="s">
        <v>54</v>
      </c>
      <c r="D12" s="4" t="s">
        <v>26</v>
      </c>
      <c r="E12" s="13">
        <v>50000</v>
      </c>
      <c r="F12" s="12">
        <v>2.5000000000000001E-2</v>
      </c>
      <c r="G12" s="13">
        <f>Table3[[#This Row],[Volume]]*Table3[[#This Row],[% De Comision]]</f>
        <v>1250</v>
      </c>
      <c r="H12" s="7" t="s">
        <v>52</v>
      </c>
      <c r="I12" s="8">
        <f>G12*0.6</f>
        <v>750</v>
      </c>
      <c r="J12" s="1" t="s">
        <v>22</v>
      </c>
      <c r="K12" s="9">
        <v>45852</v>
      </c>
      <c r="L12" s="3"/>
      <c r="M12" s="3" t="s">
        <v>28</v>
      </c>
      <c r="N12" s="3"/>
      <c r="O12" s="10">
        <v>45786</v>
      </c>
      <c r="P12" s="10">
        <v>45808</v>
      </c>
      <c r="Q12" s="1">
        <f>Table3[[#This Row],[Cierre]]-Table3[[#This Row],[Primer Contacto]]</f>
        <v>22</v>
      </c>
      <c r="R12" s="1"/>
    </row>
    <row r="13" spans="1:18" x14ac:dyDescent="0.2">
      <c r="A13" s="2">
        <v>45847</v>
      </c>
      <c r="B13" s="1" t="s">
        <v>55</v>
      </c>
      <c r="C13" s="1" t="s">
        <v>56</v>
      </c>
      <c r="D13" s="4" t="s">
        <v>26</v>
      </c>
      <c r="E13" s="13">
        <v>151500</v>
      </c>
      <c r="F13" s="14">
        <f>3.375%/2</f>
        <v>1.6875000000000001E-2</v>
      </c>
      <c r="G13" s="13">
        <f>Table3[[#This Row],[Volume]]*Table3[[#This Row],[% De Comision]]</f>
        <v>2556.5625</v>
      </c>
      <c r="H13" s="15" t="s">
        <v>52</v>
      </c>
      <c r="I13" s="8">
        <f>G13*0.6</f>
        <v>1533.9375</v>
      </c>
      <c r="J13" s="1" t="s">
        <v>22</v>
      </c>
      <c r="K13" s="10">
        <v>45863</v>
      </c>
      <c r="L13" s="1"/>
      <c r="M13" s="1" t="s">
        <v>37</v>
      </c>
      <c r="N13" s="1"/>
      <c r="O13" s="1"/>
      <c r="P13" s="1"/>
      <c r="Q13" s="1">
        <f>Table3[[#This Row],[Cierre]]-Table3[[#This Row],[Primer Contacto]]</f>
        <v>0</v>
      </c>
      <c r="R13" s="1"/>
    </row>
    <row r="14" spans="1:18" ht="68" x14ac:dyDescent="0.2">
      <c r="A14" s="16">
        <v>45869</v>
      </c>
      <c r="B14" s="1" t="s">
        <v>57</v>
      </c>
      <c r="C14" s="3" t="s">
        <v>58</v>
      </c>
      <c r="D14" s="17" t="s">
        <v>26</v>
      </c>
      <c r="E14" s="13">
        <v>105653</v>
      </c>
      <c r="F14" s="18">
        <v>0.05</v>
      </c>
      <c r="G14" s="13">
        <f>Table3[[#This Row],[Volume]]*Table3[[#This Row],[% De Comision]]</f>
        <v>5282.6500000000005</v>
      </c>
      <c r="H14" s="15" t="s">
        <v>52</v>
      </c>
      <c r="I14" s="8">
        <f>G14*0.6</f>
        <v>3169.59</v>
      </c>
      <c r="J14" s="1" t="s">
        <v>22</v>
      </c>
      <c r="K14" s="10">
        <v>45891</v>
      </c>
      <c r="L14" s="1"/>
      <c r="M14" s="1" t="s">
        <v>59</v>
      </c>
      <c r="N14" s="1"/>
      <c r="O14" s="1"/>
      <c r="P14" s="1"/>
      <c r="Q14" s="1">
        <f>Table3[[#This Row],[Cierre]]-Table3[[#This Row],[Primer Contacto]]</f>
        <v>0</v>
      </c>
      <c r="R14" s="1" t="e">
        <f>$U$1-#REF!</f>
        <v>#REF!</v>
      </c>
    </row>
    <row r="15" spans="1:18" x14ac:dyDescent="0.2">
      <c r="A15" s="2">
        <v>45870</v>
      </c>
      <c r="B15" s="1" t="s">
        <v>57</v>
      </c>
      <c r="C15" s="1" t="s">
        <v>60</v>
      </c>
      <c r="D15" s="4" t="s">
        <v>26</v>
      </c>
      <c r="E15" s="13">
        <v>107860</v>
      </c>
      <c r="F15" s="14">
        <v>0.05</v>
      </c>
      <c r="G15" s="13">
        <f>Table3[[#This Row],[Volume]]*Table3[[#This Row],[% De Comision]]</f>
        <v>5393</v>
      </c>
      <c r="H15" s="15" t="s">
        <v>52</v>
      </c>
      <c r="I15" s="8">
        <f>G15*0.6</f>
        <v>3235.7999999999997</v>
      </c>
      <c r="J15" s="1" t="s">
        <v>22</v>
      </c>
      <c r="K15" s="10">
        <v>45891</v>
      </c>
      <c r="L15" s="1"/>
      <c r="M15" s="1" t="s">
        <v>59</v>
      </c>
      <c r="N15" s="1"/>
      <c r="O15" s="1"/>
      <c r="P15" s="1"/>
      <c r="Q15" s="1">
        <f>Table3[[#This Row],[Cierre]]-Table3[[#This Row],[Primer Contacto]]</f>
        <v>0</v>
      </c>
      <c r="R15" s="1" t="e">
        <f>$U$1-#REF!</f>
        <v>#REF!</v>
      </c>
    </row>
    <row r="16" spans="1:18" x14ac:dyDescent="0.2">
      <c r="A16" s="2">
        <v>45870</v>
      </c>
      <c r="B16" s="1" t="s">
        <v>61</v>
      </c>
      <c r="C16" s="1" t="s">
        <v>62</v>
      </c>
      <c r="D16" s="4" t="s">
        <v>26</v>
      </c>
      <c r="E16" s="5">
        <v>226000</v>
      </c>
      <c r="F16" s="14">
        <v>0.02</v>
      </c>
      <c r="G16" s="13">
        <f>Table3[[#This Row],[Volume]]*Table3[[#This Row],[% De Comision]]</f>
        <v>4520</v>
      </c>
      <c r="H16" s="15" t="s">
        <v>52</v>
      </c>
      <c r="I16" s="8">
        <f>G16*0.6</f>
        <v>2712</v>
      </c>
      <c r="J16" s="1" t="s">
        <v>22</v>
      </c>
      <c r="K16" s="10">
        <v>45894</v>
      </c>
      <c r="L16" s="1" t="s">
        <v>63</v>
      </c>
      <c r="M16" s="1" t="s">
        <v>64</v>
      </c>
      <c r="N16" s="1"/>
      <c r="O16" s="10">
        <v>45863</v>
      </c>
      <c r="P16" s="10">
        <v>45870</v>
      </c>
      <c r="Q16" s="1">
        <f>Table3[[#This Row],[Cierre]]-Table3[[#This Row],[Primer Contacto]]</f>
        <v>7</v>
      </c>
      <c r="R16" s="1" t="e">
        <f>$U$1-#REF!</f>
        <v>#REF!</v>
      </c>
    </row>
    <row r="17" spans="1:18" ht="34" x14ac:dyDescent="0.2">
      <c r="A17" s="16">
        <v>45905</v>
      </c>
      <c r="B17" s="3" t="s">
        <v>65</v>
      </c>
      <c r="C17" s="1" t="s">
        <v>66</v>
      </c>
      <c r="D17" s="4" t="s">
        <v>26</v>
      </c>
      <c r="E17" s="13">
        <v>210900</v>
      </c>
      <c r="F17" s="12">
        <f>Table3[[#This Row],[Comision antes Split]]/Table3[[#This Row],[Volume]]</f>
        <v>7.4300616405879568E-3</v>
      </c>
      <c r="G17" s="13">
        <v>1567</v>
      </c>
      <c r="H17" s="7" t="s">
        <v>52</v>
      </c>
      <c r="I17" s="8">
        <f>Table3[[#This Row],[Comision antes Split]]*60%</f>
        <v>940.19999999999993</v>
      </c>
      <c r="J17" s="1" t="s">
        <v>22</v>
      </c>
      <c r="K17" s="10">
        <v>45901</v>
      </c>
      <c r="L17" s="3"/>
      <c r="M17" s="3" t="s">
        <v>37</v>
      </c>
      <c r="N17" s="3"/>
      <c r="O17" s="10"/>
      <c r="P17" s="10"/>
      <c r="Q17" s="1">
        <f>Table3[[#This Row],[Cierre]]-Table3[[#This Row],[Primer Contacto]]</f>
        <v>0</v>
      </c>
      <c r="R17" s="1"/>
    </row>
    <row r="18" spans="1:18" ht="17" x14ac:dyDescent="0.2">
      <c r="A18" s="16">
        <v>45944</v>
      </c>
      <c r="B18" s="1" t="s">
        <v>57</v>
      </c>
      <c r="C18" s="1" t="s">
        <v>67</v>
      </c>
      <c r="D18" s="17" t="s">
        <v>26</v>
      </c>
      <c r="E18" s="13">
        <v>105691.2</v>
      </c>
      <c r="F18" s="19">
        <v>0.05</v>
      </c>
      <c r="G18" s="13">
        <f>Table3[[#This Row],[Volume]]*Table3[[#This Row],[% De Comision]]</f>
        <v>5284.56</v>
      </c>
      <c r="H18" s="7" t="s">
        <v>52</v>
      </c>
      <c r="I18" s="8">
        <f>(Table3[[#This Row],[Comision antes Split]]*60%)</f>
        <v>3170.7360000000003</v>
      </c>
      <c r="J18" s="1" t="s">
        <v>22</v>
      </c>
      <c r="K18" s="10">
        <v>45968</v>
      </c>
      <c r="L18" s="1"/>
      <c r="M18" s="1" t="s">
        <v>59</v>
      </c>
      <c r="N18" s="1"/>
      <c r="O18" s="1"/>
      <c r="P18" s="1"/>
      <c r="Q18" s="1">
        <f>Table3[[#This Row],[Cierre]]-Table3[[#This Row],[Primer Contacto]]</f>
        <v>0</v>
      </c>
      <c r="R18" s="1"/>
    </row>
    <row r="19" spans="1:18" ht="17" x14ac:dyDescent="0.2">
      <c r="A19" s="16">
        <v>45944</v>
      </c>
      <c r="B19" s="1" t="s">
        <v>57</v>
      </c>
      <c r="C19" s="1" t="s">
        <v>68</v>
      </c>
      <c r="D19" s="17" t="s">
        <v>26</v>
      </c>
      <c r="E19" s="13">
        <v>106030.7</v>
      </c>
      <c r="F19" s="19">
        <v>0.05</v>
      </c>
      <c r="G19" s="13">
        <f>Table3[[#This Row],[Volume]]*Table3[[#This Row],[% De Comision]]</f>
        <v>5301.5349999999999</v>
      </c>
      <c r="H19" s="7" t="s">
        <v>52</v>
      </c>
      <c r="I19" s="8">
        <f>Table3[[#This Row],[Comision antes Split]]*70%</f>
        <v>3711.0744999999997</v>
      </c>
      <c r="J19" s="1" t="s">
        <v>22</v>
      </c>
      <c r="K19" s="10">
        <v>45968</v>
      </c>
      <c r="L19" s="1"/>
      <c r="M19" s="1" t="s">
        <v>59</v>
      </c>
      <c r="N19" s="1"/>
      <c r="O19" s="1"/>
      <c r="P19" s="1"/>
      <c r="Q19" s="1">
        <f>Table3[[#This Row],[Cierre]]-Table3[[#This Row],[Primer Contacto]]</f>
        <v>0</v>
      </c>
      <c r="R19" s="1"/>
    </row>
    <row r="20" spans="1:18" x14ac:dyDescent="0.2">
      <c r="A20" s="20">
        <v>45880</v>
      </c>
      <c r="B20" s="21" t="s">
        <v>69</v>
      </c>
      <c r="C20" s="21" t="s">
        <v>70</v>
      </c>
      <c r="D20" s="22" t="s">
        <v>20</v>
      </c>
      <c r="E20" s="23">
        <v>1150000</v>
      </c>
      <c r="F20" s="24">
        <f>Table3[[#This Row],[Comision antes Split]]/Table3[[#This Row],[Volume]]</f>
        <v>2.1467391304347827E-2</v>
      </c>
      <c r="G20" s="23">
        <f>49375/2</f>
        <v>24687.5</v>
      </c>
      <c r="H20" s="25" t="s">
        <v>71</v>
      </c>
      <c r="I20" s="8">
        <f>Table3[[#This Row],[Comision antes Split]]*70%</f>
        <v>17281.25</v>
      </c>
      <c r="J20" s="21" t="s">
        <v>72</v>
      </c>
      <c r="K20" s="26">
        <v>45981</v>
      </c>
      <c r="L20" s="21"/>
      <c r="M20" s="21" t="s">
        <v>28</v>
      </c>
      <c r="N20" s="21"/>
      <c r="O20" s="21"/>
      <c r="P20" s="21"/>
      <c r="Q20" s="21">
        <f>Table3[[#This Row],[Cierre]]-Table3[[#This Row],[Primer Contacto]]</f>
        <v>0</v>
      </c>
      <c r="R20" s="21"/>
    </row>
    <row r="21" spans="1:18" ht="17" x14ac:dyDescent="0.2">
      <c r="A21" s="16">
        <v>45944</v>
      </c>
      <c r="B21" s="1" t="s">
        <v>73</v>
      </c>
      <c r="C21" s="1" t="s">
        <v>74</v>
      </c>
      <c r="D21" s="17" t="s">
        <v>26</v>
      </c>
      <c r="E21" s="13">
        <v>165807</v>
      </c>
      <c r="F21" s="19">
        <v>2.6200000000000001E-2</v>
      </c>
      <c r="G21" s="13">
        <f>Table3[[#This Row],[Volume]]*Table3[[#This Row],[% De Comision]]</f>
        <v>4344.1433999999999</v>
      </c>
      <c r="H21" s="7" t="s">
        <v>71</v>
      </c>
      <c r="I21" s="8">
        <f>Table3[[#This Row],[Comision antes Split]]*70%</f>
        <v>3040.9003799999996</v>
      </c>
      <c r="J21" s="1" t="s">
        <v>72</v>
      </c>
      <c r="K21" s="10"/>
      <c r="L21" s="1"/>
      <c r="M21" s="1" t="s">
        <v>75</v>
      </c>
      <c r="N21" s="1"/>
      <c r="O21" s="1"/>
      <c r="P21" s="1"/>
      <c r="Q21" s="1">
        <f>Table3[[#This Row],[Cierre]]-Table3[[#This Row],[Primer Contacto]]</f>
        <v>0</v>
      </c>
      <c r="R21" s="1"/>
    </row>
    <row r="22" spans="1:18" x14ac:dyDescent="0.2">
      <c r="A22" s="1" t="s">
        <v>76</v>
      </c>
      <c r="B22" s="1"/>
      <c r="C22" s="1"/>
      <c r="D22" s="1"/>
      <c r="E22" s="27">
        <f>SUBTOTAL(109,Table3[Volume])</f>
        <v>3634025.9000000004</v>
      </c>
      <c r="G22" s="28">
        <f>SUBTOTAL(109,Table3[Comision antes Split])</f>
        <v>96689.295899999997</v>
      </c>
      <c r="H22" s="1"/>
      <c r="I22" s="29">
        <f>SUBTOTAL(109,Table3[Comision Neta])</f>
        <v>55514.678380000005</v>
      </c>
      <c r="J22" s="1"/>
      <c r="K22" s="1"/>
      <c r="L22" s="1"/>
      <c r="M22" s="1"/>
      <c r="N22" s="1"/>
      <c r="O22" s="1"/>
      <c r="P22" s="1"/>
      <c r="Q22" s="30">
        <f>SUBTOTAL(101,Table3[Ciclo de Cierre])</f>
        <v>16.444444444444443</v>
      </c>
      <c r="R22" s="1"/>
    </row>
  </sheetData>
  <conditionalFormatting sqref="J2:K8 J9:J22">
    <cfRule type="containsText" dxfId="41" priority="1" operator="containsText" text="Pagado">
      <formula>NOT(ISERROR(SEARCH("Pagado",J2)))</formula>
    </cfRule>
    <cfRule type="containsText" dxfId="40" priority="2" operator="containsText" text="Pendiente">
      <formula>NOT(ISERROR(SEARCH("Pendiente",J2)))</formula>
    </cfRule>
  </conditionalFormatting>
  <conditionalFormatting sqref="K9">
    <cfRule type="containsText" dxfId="39" priority="3" operator="containsText" text="Pagado">
      <formula>NOT(ISERROR(SEARCH("Pagado",K9)))</formula>
    </cfRule>
    <cfRule type="containsText" dxfId="38" priority="4" operator="containsText" text="Pendiente">
      <formula>NOT(ISERROR(SEARCH("Pendiente",K9)))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3FD1-60AF-4C41-97A2-62361ACEA411}">
  <dimension ref="A3:K27"/>
  <sheetViews>
    <sheetView tabSelected="1" workbookViewId="0">
      <selection activeCell="D8" sqref="D8"/>
    </sheetView>
  </sheetViews>
  <sheetFormatPr baseColWidth="10" defaultColWidth="8.83203125" defaultRowHeight="16" x14ac:dyDescent="0.2"/>
  <cols>
    <col min="1" max="1" width="50.5" bestFit="1" customWidth="1"/>
    <col min="2" max="2" width="23.1640625" bestFit="1" customWidth="1"/>
    <col min="5" max="5" width="11.6640625" bestFit="1" customWidth="1"/>
    <col min="6" max="6" width="19.5" bestFit="1" customWidth="1"/>
    <col min="7" max="7" width="11.1640625" bestFit="1" customWidth="1"/>
    <col min="14" max="14" width="11.6640625" bestFit="1" customWidth="1"/>
  </cols>
  <sheetData>
    <row r="3" spans="1:2" ht="17" thickBot="1" x14ac:dyDescent="0.25"/>
    <row r="4" spans="1:2" x14ac:dyDescent="0.2">
      <c r="A4" s="31" t="s">
        <v>77</v>
      </c>
      <c r="B4" s="32">
        <f>B6/70%</f>
        <v>171428.57142857145</v>
      </c>
    </row>
    <row r="5" spans="1:2" x14ac:dyDescent="0.2">
      <c r="A5" s="33"/>
      <c r="B5" s="34"/>
    </row>
    <row r="6" spans="1:2" ht="27" thickBot="1" x14ac:dyDescent="0.25">
      <c r="A6" s="35" t="s">
        <v>78</v>
      </c>
      <c r="B6" s="36">
        <f>B7*12</f>
        <v>120000</v>
      </c>
    </row>
    <row r="7" spans="1:2" ht="27" thickBot="1" x14ac:dyDescent="0.25">
      <c r="A7" s="37" t="s">
        <v>79</v>
      </c>
      <c r="B7" s="38">
        <v>10000</v>
      </c>
    </row>
    <row r="8" spans="1:2" ht="27" thickBot="1" x14ac:dyDescent="0.25">
      <c r="A8" s="39" t="s">
        <v>80</v>
      </c>
      <c r="B8" s="40">
        <f>B7/70%</f>
        <v>14285.714285714286</v>
      </c>
    </row>
    <row r="9" spans="1:2" ht="35" customHeight="1" x14ac:dyDescent="0.2"/>
    <row r="10" spans="1:2" ht="44" customHeight="1" x14ac:dyDescent="0.2">
      <c r="A10" s="41"/>
      <c r="B10" s="41"/>
    </row>
    <row r="11" spans="1:2" ht="17" thickBot="1" x14ac:dyDescent="0.25">
      <c r="A11" s="41"/>
      <c r="B11" s="41"/>
    </row>
    <row r="12" spans="1:2" s="44" customFormat="1" ht="26" x14ac:dyDescent="0.25">
      <c r="A12" s="42" t="s">
        <v>81</v>
      </c>
      <c r="B12" s="43">
        <v>150000</v>
      </c>
    </row>
    <row r="13" spans="1:2" s="44" customFormat="1" ht="26" x14ac:dyDescent="0.25">
      <c r="A13" s="45" t="s">
        <v>82</v>
      </c>
      <c r="B13" s="46">
        <v>0.05</v>
      </c>
    </row>
    <row r="14" spans="1:2" s="44" customFormat="1" ht="26" x14ac:dyDescent="0.25">
      <c r="A14" s="45" t="s">
        <v>83</v>
      </c>
      <c r="B14" s="47">
        <f>B13*B12</f>
        <v>7500</v>
      </c>
    </row>
    <row r="15" spans="1:2" s="44" customFormat="1" ht="26" x14ac:dyDescent="0.25">
      <c r="A15" s="45" t="s">
        <v>7</v>
      </c>
      <c r="B15" s="46">
        <v>0.7</v>
      </c>
    </row>
    <row r="16" spans="1:2" s="44" customFormat="1" ht="26" x14ac:dyDescent="0.25">
      <c r="A16" s="45" t="s">
        <v>84</v>
      </c>
      <c r="B16" s="47">
        <f>B15*B14</f>
        <v>5250</v>
      </c>
    </row>
    <row r="17" spans="1:11" s="44" customFormat="1" ht="26" x14ac:dyDescent="0.25">
      <c r="A17" s="45" t="s">
        <v>85</v>
      </c>
      <c r="B17" s="48">
        <f>B6/B16</f>
        <v>22.857142857142858</v>
      </c>
      <c r="J17" s="49"/>
      <c r="K17" s="49"/>
    </row>
    <row r="18" spans="1:11" s="44" customFormat="1" ht="26" x14ac:dyDescent="0.25">
      <c r="A18" s="45" t="s">
        <v>86</v>
      </c>
      <c r="B18" s="48">
        <f>B17/12</f>
        <v>1.9047619047619049</v>
      </c>
    </row>
    <row r="19" spans="1:11" s="44" customFormat="1" ht="26" x14ac:dyDescent="0.25">
      <c r="A19" s="45" t="s">
        <v>87</v>
      </c>
      <c r="B19" s="50">
        <f>B18*B16</f>
        <v>10000</v>
      </c>
    </row>
    <row r="20" spans="1:11" s="44" customFormat="1" ht="26" x14ac:dyDescent="0.25">
      <c r="A20" s="45" t="s">
        <v>88</v>
      </c>
      <c r="B20" s="47">
        <f>B19*12</f>
        <v>120000</v>
      </c>
    </row>
    <row r="21" spans="1:11" s="44" customFormat="1" ht="26" x14ac:dyDescent="0.25">
      <c r="A21" s="45" t="s">
        <v>89</v>
      </c>
      <c r="B21" s="51">
        <v>150</v>
      </c>
    </row>
    <row r="22" spans="1:11" s="44" customFormat="1" ht="26" x14ac:dyDescent="0.25">
      <c r="A22" s="45" t="s">
        <v>90</v>
      </c>
      <c r="B22" s="51">
        <v>300</v>
      </c>
      <c r="C22" s="44">
        <f>B22*12</f>
        <v>3600</v>
      </c>
    </row>
    <row r="23" spans="1:11" s="44" customFormat="1" ht="26" x14ac:dyDescent="0.25">
      <c r="A23" s="45" t="s">
        <v>91</v>
      </c>
      <c r="B23" s="47">
        <v>4</v>
      </c>
    </row>
    <row r="24" spans="1:11" ht="26" x14ac:dyDescent="0.25">
      <c r="A24" s="45" t="s">
        <v>92</v>
      </c>
      <c r="B24" s="47">
        <f>B23*B22</f>
        <v>1200</v>
      </c>
    </row>
    <row r="25" spans="1:11" s="44" customFormat="1" ht="25" x14ac:dyDescent="0.25">
      <c r="A25" s="52"/>
      <c r="B25" s="53"/>
    </row>
    <row r="26" spans="1:11" s="44" customFormat="1" ht="25" x14ac:dyDescent="0.25">
      <c r="A26" s="52"/>
      <c r="B26" s="53"/>
    </row>
    <row r="27" spans="1:11" ht="26" thickBot="1" x14ac:dyDescent="0.3">
      <c r="A27" s="54" t="s">
        <v>93</v>
      </c>
      <c r="B27" s="55">
        <f>B12*B17</f>
        <v>3428571.4285714286</v>
      </c>
    </row>
  </sheetData>
  <mergeCells count="2">
    <mergeCell ref="A4:A5"/>
    <mergeCell ref="B4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Yonathan Gonzalez Rodriguez</dc:creator>
  <cp:lastModifiedBy>Yonathan Gonzalez Rodriguez</cp:lastModifiedBy>
  <dcterms:created xsi:type="dcterms:W3CDTF">2026-01-13T03:23:02Z</dcterms:created>
  <dcterms:modified xsi:type="dcterms:W3CDTF">2026-01-13T03:24:07Z</dcterms:modified>
</cp:coreProperties>
</file>